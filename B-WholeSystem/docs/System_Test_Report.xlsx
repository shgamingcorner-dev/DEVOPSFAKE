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VOPSFAKE\B-WholeSystem\docs\"/>
    </mc:Choice>
  </mc:AlternateContent>
  <xr:revisionPtr revIDLastSave="0" documentId="13_ncr:1_{F663737A-C890-4F27-A352-C520AF42B2B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Overall Test Report" sheetId="1" r:id="rId1"/>
    <sheet name="Test Cases &amp; Results" sheetId="2" r:id="rId2"/>
    <sheet name="Enum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</calcChain>
</file>

<file path=xl/sharedStrings.xml><?xml version="1.0" encoding="utf-8"?>
<sst xmlns="http://schemas.openxmlformats.org/spreadsheetml/2006/main" count="183" uniqueCount="126">
  <si>
    <t>TestCase_ID</t>
  </si>
  <si>
    <t>Requirement_ID</t>
  </si>
  <si>
    <t>Priority</t>
  </si>
  <si>
    <t>Description/Test Summary</t>
  </si>
  <si>
    <t>Pre-Condition</t>
  </si>
  <si>
    <t>Test Steps</t>
  </si>
  <si>
    <t>Expected Result</t>
  </si>
  <si>
    <t>Actual Result</t>
  </si>
  <si>
    <t>Test Result</t>
  </si>
  <si>
    <t>REQ-01</t>
  </si>
  <si>
    <t>High</t>
  </si>
  <si>
    <t>System starts in Sleep and transitions to Awake when the slide switch is moved right</t>
  </si>
  <si>
    <t>System powered on; slide switch in left (Sleep) position</t>
  </si>
  <si>
    <t>1. Power on the system. 2. Confirm it stays in Sleep. 3. Slide switch to the right. 4. Observe state.</t>
  </si>
  <si>
    <t>System remains in Sleep until switch is slid right; then transitions to Awake.</t>
  </si>
  <si>
    <t>Not Tested</t>
  </si>
  <si>
    <t>REQ-02</t>
  </si>
  <si>
    <t>LCD displays 'System ready :)' when system is in Awake state</t>
  </si>
  <si>
    <t>System in Awake state (slide switch right)</t>
  </si>
  <si>
    <t>1. Slide switch to the right. 2. Read LCD line 1.</t>
  </si>
  <si>
    <t>LCD line 1 shows: System ready :)</t>
  </si>
  <si>
    <t>REQ-03</t>
  </si>
  <si>
    <t>Automatic activation when temperature sensor reads &gt;= 60 C</t>
  </si>
  <si>
    <t>System in Awake; no fire condition</t>
  </si>
  <si>
    <t>1. Heat the temperature sensor above 60 C. 2. Observe system within 1 s.</t>
  </si>
  <si>
    <t>System enters Emergency: buzzer on, red LED on, servo sprinkler, LCD FIRE DETECTED!, Telegram sent.</t>
  </si>
  <si>
    <t>Automatic activation when LDR detects smoke (light reduction)</t>
  </si>
  <si>
    <t>1. Cover the LDR / block light. 2. Observe system within 1 s.</t>
  </si>
  <si>
    <t>System enters Emergency (same response as temp activation).</t>
  </si>
  <si>
    <t>REQ-04</t>
  </si>
  <si>
    <t>Manual activation via Telegram '995' command</t>
  </si>
  <si>
    <t>System in Awake; bot configured in .env</t>
  </si>
  <si>
    <t>1. Text '995' to the Telegram bot from a phone. 2. Observe system within ~5 s.</t>
  </si>
  <si>
    <t>System enters Emergency (same response as auto activation).</t>
  </si>
  <si>
    <t>REQ-06</t>
  </si>
  <si>
    <t>Buzzer activates during Emergency response</t>
  </si>
  <si>
    <t>System in Emergency</t>
  </si>
  <si>
    <t>1. Trigger an emergency. 2. Listen for the buzzer.</t>
  </si>
  <si>
    <t>Buzzer sounds continuously while in Emergency.</t>
  </si>
  <si>
    <t>REQ-07</t>
  </si>
  <si>
    <t>Telegram 'Fire detected!' sent to owner, caregiver and SCDF</t>
  </si>
  <si>
    <t>System in Emergency; valid chat IDs in .env</t>
  </si>
  <si>
    <t>1. Trigger an emergency. 2. Check all three Telegram chats.</t>
  </si>
  <si>
    <t>'Fire detected!' received by owner, caregiver and SCDF within 5 s.</t>
  </si>
  <si>
    <t>REQ-08</t>
  </si>
  <si>
    <t>Red LED turns on during Emergency</t>
  </si>
  <si>
    <t>1. Trigger an emergency. 2. Observe the red LED.</t>
  </si>
  <si>
    <t>Red LED is on while in Emergency.</t>
  </si>
  <si>
    <t>REQ-09</t>
  </si>
  <si>
    <t>Mid</t>
  </si>
  <si>
    <t>Servo motor (water sprinkler) activates during Emergency</t>
  </si>
  <si>
    <t>1. Trigger an emergency. 2. Observe the servo.</t>
  </si>
  <si>
    <t>Servo moves to sprinkler position (open) to spray water.</t>
  </si>
  <si>
    <t>REQ-10</t>
  </si>
  <si>
    <t>LCD shows emergency message 'FIRE DETECTED!' / 'EVACUATE NOW'</t>
  </si>
  <si>
    <t>1. Trigger an emergency. 2. Read the LCD.</t>
  </si>
  <si>
    <t>LCD line 1: FIRE DETECTED!  line 2: EVACUATE NOW</t>
  </si>
  <si>
    <t>REQ-11</t>
  </si>
  <si>
    <t>Recovery: system returns to Awake only when temp &lt; 50 C AND moisture present for &gt;= 5 s</t>
  </si>
  <si>
    <t>System in Emergency; fire source removed</t>
  </si>
  <si>
    <t>1. Cool sensor below 50 C. 2. Wet the moisture sensor. 3. Hold both for 5 s. 4. Observe state.</t>
  </si>
  <si>
    <t>After 5 continuous seconds of both conditions, system transitions back to Awake.</t>
  </si>
  <si>
    <t>REQ-12</t>
  </si>
  <si>
    <t>Recovery deactivates buzzer, red LED and servo</t>
  </si>
  <si>
    <t>Recovery conditions met (temp&lt;50C + moisture)</t>
  </si>
  <si>
    <t>1. Let recovery complete. 2. Observe outputs.</t>
  </si>
  <si>
    <t>Buzzer stops, red LED turns off, servo returns to rest position.</t>
  </si>
  <si>
    <t>REQ-13</t>
  </si>
  <si>
    <t>LCD shows 'Fire is out' after recovery</t>
  </si>
  <si>
    <t>Recovery completed</t>
  </si>
  <si>
    <t>1. Observe LCD after recovery.</t>
  </si>
  <si>
    <t>LCD line 1 shows: Fire is out</t>
  </si>
  <si>
    <t>REQ-14</t>
  </si>
  <si>
    <t>False alarm: keypad '123' deactivates Emergency</t>
  </si>
  <si>
    <t>System in Emergency (false alarm scenario)</t>
  </si>
  <si>
    <t>1. Press 1, then 2, then 3 on the keypad. 2. Observe system.</t>
  </si>
  <si>
    <t>Emergency deactivates; system returns to Awake.</t>
  </si>
  <si>
    <t>REQ-16</t>
  </si>
  <si>
    <t>LCD shows 'False alarm!' / 'Alarm deactivated' after keypad 123</t>
  </si>
  <si>
    <t>Keypad 123 entered while in Emergency</t>
  </si>
  <si>
    <t>1. Observe the LCD after entering 123.</t>
  </si>
  <si>
    <t>LCD line 1: False alarm!  line 2: Alarm deactivated</t>
  </si>
  <si>
    <t>REQ-17</t>
  </si>
  <si>
    <t>Alarm duration and temperature data uploaded to ThingSpeak on deactivation</t>
  </si>
  <si>
    <t>Emergency ended (recovery or false alarm); ThingSpeak key valid</t>
  </si>
  <si>
    <t>1. End an emergency (either path). 2. Check ThingSpeak channel.</t>
  </si>
  <si>
    <t>New ThingSpeak entry with alarm duration / temperature appears.</t>
  </si>
  <si>
    <t>NFR-01</t>
  </si>
  <si>
    <t>Low</t>
  </si>
  <si>
    <t>System completes startup within 2 seconds</t>
  </si>
  <si>
    <t>System powered off</t>
  </si>
  <si>
    <t>1. Start timer at power-on. 2. Stop when LCD shows 'System ready :)'.</t>
  </si>
  <si>
    <t>Startup completes within 2 s.</t>
  </si>
  <si>
    <t>NFR-02</t>
  </si>
  <si>
    <t>Sprinkler activates within 3 seconds of alarm</t>
  </si>
  <si>
    <t>System in Awake</t>
  </si>
  <si>
    <t>1. Trigger an emergency. 2. Time until servo starts moving.</t>
  </si>
  <si>
    <t>Servo sprinkler activates within 3 s of the alarm.</t>
  </si>
  <si>
    <t>NFR-05</t>
  </si>
  <si>
    <t>Telegram notification sent within 5 seconds of alarm</t>
  </si>
  <si>
    <t>System in Awake; bot configured</t>
  </si>
  <si>
    <t>1. Trigger an emergency. 2. Time until the Telegram message arrives.</t>
  </si>
  <si>
    <t>Telegram message received within 5 s.</t>
  </si>
  <si>
    <t>NFR-06</t>
  </si>
  <si>
    <t>Fire considered extinguished only after 5 s continuous conditions; deactivation within 3 s</t>
  </si>
  <si>
    <t>1. Cool + wet the sensors. 2. Time from conditions met to deactivation.</t>
  </si>
  <si>
    <t>Extinguished only after 5 s continuous; alarm deactivates within 3 s of detection.</t>
  </si>
  <si>
    <t>NFR-08</t>
  </si>
  <si>
    <t>Sensor readings uploaded to ThingSpeak every 15 seconds</t>
  </si>
  <si>
    <t>System running; valid ThingSpeak key</t>
  </si>
  <si>
    <t>1. Watch the channel for 60 s. 2. Count new entries.</t>
  </si>
  <si>
    <t>Approx. 4 new entries appear (one every 15 s).</t>
  </si>
  <si>
    <t>Total Test Cases</t>
  </si>
  <si>
    <t xml:space="preserve">Passed </t>
  </si>
  <si>
    <t>Failed</t>
  </si>
  <si>
    <t>Pass</t>
  </si>
  <si>
    <t>Fail</t>
  </si>
  <si>
    <t>High Impact</t>
  </si>
  <si>
    <t>Mid Impact</t>
  </si>
  <si>
    <t>Low Impact</t>
  </si>
  <si>
    <t>System remains in sleep until switch is slid right then transitions to awake</t>
  </si>
  <si>
    <t>Line 1: "System ready :)"</t>
  </si>
  <si>
    <t>Emergency Mode</t>
  </si>
  <si>
    <t>Yes</t>
  </si>
  <si>
    <t xml:space="preserve">Havent tessted for other 2 but one has been received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</si>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</sst>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Test Results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71AA-45EC-AE42-5D3F38D7F5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71AA-45EC-AE42-5D3F38D7F5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71AA-45EC-AE42-5D3F38D7F573}"/>
              </c:ext>
            </c:extLst>
          </c:dPt>
          <c:cat>
            <c:strRef>
              <c:f>'Overall Test Report'!$B$4:$B$6</c:f>
              <c:strCache>
                <c:ptCount val="3"/>
                <c:pt idx="0">
                  <c:v>Passed 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'Overall Test Report'!$C$4:$C$6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AA-45EC-AE42-5D3F38D7F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0.29865857392825901"/>
          <c:y val="0.8524300087489064"/>
          <c:w val="0.4554604111986002"/>
          <c:h val="0.119792213473315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820963</xdr:colOff>
      <xdr:row>8</xdr:row>
      <xdr:rowOff>84364</xdr:rowOff>
    </xdr:from>
    <xdr:to>
      <xdr:col>6</xdr:col>
      <xdr:colOff>181429</xdr:colOff>
      <xdr:row>23</xdr:row>
      <xdr:rowOff>99785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zoomScale="129" workbookViewId="0">
      <selection activeCell="C3" sqref="C3"/>
    </sheetView>
  </sheetViews>
  <sheetFormatPr defaultColWidth="11.3984375" defaultRowHeight="14.25" x14ac:dyDescent="0.45"/>
  <cols>
    <col min="2" max="2" width="15.265625" bestFit="1" customWidth="1"/>
  </cols>
  <sheetData>
    <row r="3" spans="2:3" x14ac:dyDescent="0.45">
      <c r="B3" s="6" t="s">
        <v>112</v>
      </c>
      <c r="C3" s="10">
        <f>COUNTIF('Test Cases &amp; Results'!B3:B70, "&lt;&gt;")</f>
        <v>21</v>
      </c>
    </row>
    <row r="4" spans="2:3" x14ac:dyDescent="0.45">
      <c r="B4" s="7" t="s">
        <v>113</v>
      </c>
      <c r="C4" s="10">
        <f>COUNTIF('Test Cases &amp; Results'!K3:K72, "Pass")</f>
        <v>0</v>
      </c>
    </row>
    <row r="5" spans="2:3" x14ac:dyDescent="0.45">
      <c r="B5" s="8" t="s">
        <v>114</v>
      </c>
      <c r="C5" s="10">
        <f>COUNTIF('Test Cases &amp; Results'!K3:K72, "Fail")</f>
        <v>2</v>
      </c>
    </row>
    <row r="6" spans="2:3" x14ac:dyDescent="0.45">
      <c r="B6" s="9" t="s">
        <v>15</v>
      </c>
      <c r="C6" s="10">
        <f>COUNTIF('Test Cases &amp; Results'!K3:K72, "Not Tested")</f>
        <v>5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3"/>
  <sheetViews>
    <sheetView tabSelected="1" topLeftCell="I3" zoomScale="119" zoomScaleNormal="95" workbookViewId="0">
      <selection activeCell="N13" sqref="N13"/>
    </sheetView>
  </sheetViews>
  <sheetFormatPr defaultColWidth="8.86328125" defaultRowHeight="14.25" x14ac:dyDescent="0.45"/>
  <cols>
    <col min="2" max="2" width="10.6640625" bestFit="1" customWidth="1"/>
    <col min="3" max="4" width="14.265625" bestFit="1" customWidth="1"/>
    <col min="5" max="5" width="6.86328125" bestFit="1" customWidth="1"/>
    <col min="6" max="6" width="74.265625" bestFit="1" customWidth="1"/>
    <col min="7" max="7" width="52.73046875" bestFit="1" customWidth="1"/>
    <col min="8" max="8" width="75.265625" bestFit="1" customWidth="1"/>
    <col min="9" max="9" width="66.06640625" bestFit="1" customWidth="1"/>
    <col min="10" max="10" width="43.86328125" bestFit="1" customWidth="1"/>
    <col min="11" max="11" width="9.73046875" style="13" bestFit="1" customWidth="1"/>
  </cols>
  <sheetData>
    <row r="2" spans="2:11" x14ac:dyDescent="0.45">
      <c r="B2" s="1" t="s">
        <v>0</v>
      </c>
      <c r="C2" s="1" t="s">
        <v>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1" t="s">
        <v>8</v>
      </c>
    </row>
    <row r="3" spans="2:11" ht="57" customHeight="1" x14ac:dyDescent="0.45">
      <c r="B3" s="2">
        <v>1</v>
      </c>
      <c r="C3" s="2">
        <v>1</v>
      </c>
      <c r="D3" s="2" t="s">
        <v>9</v>
      </c>
      <c r="E3" s="3" t="s">
        <v>10</v>
      </c>
      <c r="F3" s="4" t="s">
        <v>11</v>
      </c>
      <c r="G3" s="4" t="s">
        <v>12</v>
      </c>
      <c r="H3" s="5" t="s">
        <v>13</v>
      </c>
      <c r="I3" s="15" t="s">
        <v>14</v>
      </c>
      <c r="J3" s="15" t="s">
        <v>120</v>
      </c>
      <c r="K3" s="12" t="s">
        <v>123</v>
      </c>
    </row>
    <row r="4" spans="2:11" ht="22.5" x14ac:dyDescent="0.45">
      <c r="B4" s="2">
        <v>2</v>
      </c>
      <c r="C4" s="2">
        <v>2</v>
      </c>
      <c r="D4" s="2" t="s">
        <v>16</v>
      </c>
      <c r="E4" s="3" t="s">
        <v>10</v>
      </c>
      <c r="F4" s="4" t="s">
        <v>17</v>
      </c>
      <c r="G4" s="4" t="s">
        <v>18</v>
      </c>
      <c r="H4" s="5" t="s">
        <v>19</v>
      </c>
      <c r="I4" s="4" t="s">
        <v>20</v>
      </c>
      <c r="J4" s="4" t="s">
        <v>121</v>
      </c>
      <c r="K4" s="12" t="s">
        <v>123</v>
      </c>
    </row>
    <row r="5" spans="2:11" ht="22.5" x14ac:dyDescent="0.45">
      <c r="B5" s="2">
        <v>3</v>
      </c>
      <c r="C5" s="2">
        <v>3</v>
      </c>
      <c r="D5" s="2" t="s">
        <v>21</v>
      </c>
      <c r="E5" s="3" t="s">
        <v>10</v>
      </c>
      <c r="F5" s="4" t="s">
        <v>22</v>
      </c>
      <c r="G5" s="4" t="s">
        <v>23</v>
      </c>
      <c r="H5" s="5" t="s">
        <v>24</v>
      </c>
      <c r="I5" s="4" t="s">
        <v>25</v>
      </c>
      <c r="J5" s="4" t="s">
        <v>123</v>
      </c>
      <c r="K5" s="12" t="s">
        <v>123</v>
      </c>
    </row>
    <row r="6" spans="2:11" x14ac:dyDescent="0.45">
      <c r="B6" s="2">
        <v>4</v>
      </c>
      <c r="C6" s="14">
        <v>4</v>
      </c>
      <c r="D6" s="14" t="s">
        <v>21</v>
      </c>
      <c r="E6" s="14" t="s">
        <v>10</v>
      </c>
      <c r="F6" s="14" t="s">
        <v>26</v>
      </c>
      <c r="G6" s="14" t="s">
        <v>23</v>
      </c>
      <c r="H6" s="14" t="s">
        <v>27</v>
      </c>
      <c r="I6" s="14" t="s">
        <v>28</v>
      </c>
      <c r="J6" s="14" t="s">
        <v>122</v>
      </c>
      <c r="K6" s="12" t="s">
        <v>123</v>
      </c>
    </row>
    <row r="7" spans="2:11" x14ac:dyDescent="0.45">
      <c r="B7" s="2">
        <v>5</v>
      </c>
      <c r="C7" s="14">
        <v>5</v>
      </c>
      <c r="D7" s="14" t="s">
        <v>29</v>
      </c>
      <c r="E7" s="14" t="s">
        <v>10</v>
      </c>
      <c r="F7" s="14" t="s">
        <v>30</v>
      </c>
      <c r="G7" s="14" t="s">
        <v>31</v>
      </c>
      <c r="H7" s="14" t="s">
        <v>32</v>
      </c>
      <c r="I7" s="14" t="s">
        <v>33</v>
      </c>
      <c r="J7" s="14" t="s">
        <v>122</v>
      </c>
      <c r="K7" s="12" t="s">
        <v>123</v>
      </c>
    </row>
    <row r="8" spans="2:11" x14ac:dyDescent="0.45">
      <c r="B8" s="2">
        <v>6</v>
      </c>
      <c r="C8" s="14">
        <v>6</v>
      </c>
      <c r="D8" s="14" t="s">
        <v>34</v>
      </c>
      <c r="E8" s="14" t="s">
        <v>10</v>
      </c>
      <c r="F8" s="14" t="s">
        <v>35</v>
      </c>
      <c r="G8" s="14" t="s">
        <v>36</v>
      </c>
      <c r="H8" s="14" t="s">
        <v>37</v>
      </c>
      <c r="I8" s="14" t="s">
        <v>38</v>
      </c>
      <c r="J8" s="14" t="s">
        <v>123</v>
      </c>
      <c r="K8" s="12" t="s">
        <v>123</v>
      </c>
    </row>
    <row r="9" spans="2:11" x14ac:dyDescent="0.45">
      <c r="B9" s="2">
        <v>7</v>
      </c>
      <c r="C9" s="14">
        <v>7</v>
      </c>
      <c r="D9" s="14" t="s">
        <v>39</v>
      </c>
      <c r="E9" s="14" t="s">
        <v>10</v>
      </c>
      <c r="F9" s="14" t="s">
        <v>40</v>
      </c>
      <c r="G9" s="14" t="s">
        <v>41</v>
      </c>
      <c r="H9" s="14" t="s">
        <v>42</v>
      </c>
      <c r="I9" s="14" t="s">
        <v>43</v>
      </c>
      <c r="J9" s="14" t="s">
        <v>124</v>
      </c>
      <c r="K9" s="12" t="s">
        <v>123</v>
      </c>
    </row>
    <row r="10" spans="2:11" x14ac:dyDescent="0.45">
      <c r="B10" s="2">
        <v>8</v>
      </c>
      <c r="C10" s="14">
        <v>8</v>
      </c>
      <c r="D10" s="14" t="s">
        <v>44</v>
      </c>
      <c r="E10" s="14" t="s">
        <v>10</v>
      </c>
      <c r="F10" s="14" t="s">
        <v>45</v>
      </c>
      <c r="G10" s="14" t="s">
        <v>36</v>
      </c>
      <c r="H10" s="14" t="s">
        <v>46</v>
      </c>
      <c r="I10" s="14" t="s">
        <v>47</v>
      </c>
      <c r="J10" s="14" t="s">
        <v>123</v>
      </c>
      <c r="K10" s="12" t="s">
        <v>123</v>
      </c>
    </row>
    <row r="11" spans="2:11" x14ac:dyDescent="0.45">
      <c r="B11" s="2">
        <v>9</v>
      </c>
      <c r="C11" s="14">
        <v>9</v>
      </c>
      <c r="D11" s="14" t="s">
        <v>48</v>
      </c>
      <c r="E11" s="14" t="s">
        <v>49</v>
      </c>
      <c r="F11" s="14" t="s">
        <v>50</v>
      </c>
      <c r="G11" s="14" t="s">
        <v>36</v>
      </c>
      <c r="H11" s="14" t="s">
        <v>51</v>
      </c>
      <c r="I11" s="14" t="s">
        <v>52</v>
      </c>
      <c r="J11" s="14" t="s">
        <v>123</v>
      </c>
      <c r="K11" s="12" t="s">
        <v>123</v>
      </c>
    </row>
    <row r="12" spans="2:11" x14ac:dyDescent="0.45">
      <c r="B12" s="2">
        <v>10</v>
      </c>
      <c r="C12" s="14">
        <v>10</v>
      </c>
      <c r="D12" s="14" t="s">
        <v>53</v>
      </c>
      <c r="E12" s="14" t="s">
        <v>10</v>
      </c>
      <c r="F12" s="14" t="s">
        <v>54</v>
      </c>
      <c r="G12" s="14" t="s">
        <v>36</v>
      </c>
      <c r="H12" s="14" t="s">
        <v>55</v>
      </c>
      <c r="I12" s="14" t="s">
        <v>56</v>
      </c>
      <c r="J12" s="14" t="s">
        <v>123</v>
      </c>
      <c r="K12" s="12" t="s">
        <v>123</v>
      </c>
    </row>
    <row r="13" spans="2:11" x14ac:dyDescent="0.45">
      <c r="B13" s="2">
        <v>11</v>
      </c>
      <c r="C13" s="14">
        <v>11</v>
      </c>
      <c r="D13" s="14" t="s">
        <v>57</v>
      </c>
      <c r="E13" s="14" t="s">
        <v>10</v>
      </c>
      <c r="F13" s="14" t="s">
        <v>58</v>
      </c>
      <c r="G13" s="14" t="s">
        <v>59</v>
      </c>
      <c r="H13" s="14" t="s">
        <v>60</v>
      </c>
      <c r="I13" s="14" t="s">
        <v>61</v>
      </c>
      <c r="J13" s="14" t="s">
        <v>123</v>
      </c>
      <c r="K13" s="12" t="s">
        <v>123</v>
      </c>
    </row>
    <row r="14" spans="2:11" x14ac:dyDescent="0.45">
      <c r="B14" s="2">
        <v>12</v>
      </c>
      <c r="C14" s="14">
        <v>12</v>
      </c>
      <c r="D14" s="14" t="s">
        <v>62</v>
      </c>
      <c r="E14" s="14" t="s">
        <v>10</v>
      </c>
      <c r="F14" s="14" t="s">
        <v>63</v>
      </c>
      <c r="G14" s="14" t="s">
        <v>64</v>
      </c>
      <c r="H14" s="14" t="s">
        <v>65</v>
      </c>
      <c r="I14" s="14" t="s">
        <v>66</v>
      </c>
      <c r="J14" s="14" t="s">
        <v>123</v>
      </c>
      <c r="K14" s="12" t="s">
        <v>123</v>
      </c>
    </row>
    <row r="15" spans="2:11" x14ac:dyDescent="0.45">
      <c r="B15" s="2">
        <v>13</v>
      </c>
      <c r="C15" s="14">
        <v>13</v>
      </c>
      <c r="D15" s="14" t="s">
        <v>67</v>
      </c>
      <c r="E15" s="14" t="s">
        <v>49</v>
      </c>
      <c r="F15" s="14" t="s">
        <v>68</v>
      </c>
      <c r="G15" s="14" t="s">
        <v>69</v>
      </c>
      <c r="H15" s="14" t="s">
        <v>70</v>
      </c>
      <c r="I15" s="14" t="s">
        <v>71</v>
      </c>
      <c r="J15" s="14" t="s">
        <v>123</v>
      </c>
      <c r="K15" s="12" t="s">
        <v>123</v>
      </c>
    </row>
    <row r="16" spans="2:11" x14ac:dyDescent="0.45">
      <c r="B16" s="2">
        <v>14</v>
      </c>
      <c r="C16" s="14">
        <v>14</v>
      </c>
      <c r="D16" s="14" t="s">
        <v>72</v>
      </c>
      <c r="E16" s="14" t="s">
        <v>10</v>
      </c>
      <c r="F16" s="14" t="s">
        <v>73</v>
      </c>
      <c r="G16" s="14" t="s">
        <v>74</v>
      </c>
      <c r="H16" s="14" t="s">
        <v>75</v>
      </c>
      <c r="I16" s="14" t="s">
        <v>76</v>
      </c>
      <c r="J16" s="14" t="s">
        <v>125</v>
      </c>
      <c r="K16" s="12" t="s">
        <v>116</v>
      </c>
    </row>
    <row r="17" spans="2:11" x14ac:dyDescent="0.45">
      <c r="B17" s="2">
        <v>15</v>
      </c>
      <c r="C17" s="14">
        <v>15</v>
      </c>
      <c r="D17" s="14" t="s">
        <v>77</v>
      </c>
      <c r="E17" s="14" t="s">
        <v>10</v>
      </c>
      <c r="F17" s="14" t="s">
        <v>78</v>
      </c>
      <c r="G17" s="14" t="s">
        <v>79</v>
      </c>
      <c r="H17" s="14" t="s">
        <v>80</v>
      </c>
      <c r="I17" s="14" t="s">
        <v>81</v>
      </c>
      <c r="J17" s="14" t="s">
        <v>123</v>
      </c>
      <c r="K17" s="12" t="s">
        <v>123</v>
      </c>
    </row>
    <row r="18" spans="2:11" x14ac:dyDescent="0.45">
      <c r="B18" s="2">
        <v>16</v>
      </c>
      <c r="C18" s="14">
        <v>16</v>
      </c>
      <c r="D18" s="14" t="s">
        <v>82</v>
      </c>
      <c r="E18" s="14" t="s">
        <v>49</v>
      </c>
      <c r="F18" s="14" t="s">
        <v>83</v>
      </c>
      <c r="G18" s="14" t="s">
        <v>84</v>
      </c>
      <c r="H18" s="14" t="s">
        <v>85</v>
      </c>
      <c r="I18" s="14" t="s">
        <v>86</v>
      </c>
      <c r="J18" s="14" t="s">
        <v>125</v>
      </c>
      <c r="K18" s="12" t="s">
        <v>116</v>
      </c>
    </row>
    <row r="19" spans="2:11" x14ac:dyDescent="0.45">
      <c r="B19" s="2">
        <v>17</v>
      </c>
      <c r="C19" s="14">
        <v>17</v>
      </c>
      <c r="D19" s="14" t="s">
        <v>87</v>
      </c>
      <c r="E19" s="14" t="s">
        <v>88</v>
      </c>
      <c r="F19" s="14" t="s">
        <v>89</v>
      </c>
      <c r="G19" s="14" t="s">
        <v>90</v>
      </c>
      <c r="H19" s="14" t="s">
        <v>91</v>
      </c>
      <c r="I19" s="14" t="s">
        <v>92</v>
      </c>
      <c r="J19" s="14"/>
      <c r="K19" s="12" t="s">
        <v>15</v>
      </c>
    </row>
    <row r="20" spans="2:11" x14ac:dyDescent="0.45">
      <c r="B20" s="2">
        <v>18</v>
      </c>
      <c r="C20" s="14">
        <v>18</v>
      </c>
      <c r="D20" s="14" t="s">
        <v>93</v>
      </c>
      <c r="E20" s="14" t="s">
        <v>88</v>
      </c>
      <c r="F20" s="14" t="s">
        <v>94</v>
      </c>
      <c r="G20" s="14" t="s">
        <v>95</v>
      </c>
      <c r="H20" s="14" t="s">
        <v>96</v>
      </c>
      <c r="I20" s="14" t="s">
        <v>97</v>
      </c>
      <c r="J20" s="14"/>
      <c r="K20" s="12" t="s">
        <v>15</v>
      </c>
    </row>
    <row r="21" spans="2:11" x14ac:dyDescent="0.45">
      <c r="B21" s="2">
        <v>19</v>
      </c>
      <c r="C21" s="14">
        <v>19</v>
      </c>
      <c r="D21" s="14" t="s">
        <v>98</v>
      </c>
      <c r="E21" s="14" t="s">
        <v>88</v>
      </c>
      <c r="F21" s="14" t="s">
        <v>99</v>
      </c>
      <c r="G21" s="14" t="s">
        <v>100</v>
      </c>
      <c r="H21" s="14" t="s">
        <v>101</v>
      </c>
      <c r="I21" s="14" t="s">
        <v>102</v>
      </c>
      <c r="J21" s="14"/>
      <c r="K21" s="12" t="s">
        <v>15</v>
      </c>
    </row>
    <row r="22" spans="2:11" x14ac:dyDescent="0.45">
      <c r="B22" s="2">
        <v>20</v>
      </c>
      <c r="C22" s="14">
        <v>20</v>
      </c>
      <c r="D22" s="14" t="s">
        <v>103</v>
      </c>
      <c r="E22" s="14" t="s">
        <v>88</v>
      </c>
      <c r="F22" s="14" t="s">
        <v>104</v>
      </c>
      <c r="G22" s="14" t="s">
        <v>36</v>
      </c>
      <c r="H22" s="14" t="s">
        <v>105</v>
      </c>
      <c r="I22" s="14" t="s">
        <v>106</v>
      </c>
      <c r="J22" s="14"/>
      <c r="K22" s="12" t="s">
        <v>15</v>
      </c>
    </row>
    <row r="23" spans="2:11" x14ac:dyDescent="0.45">
      <c r="B23">
        <v>21</v>
      </c>
      <c r="C23">
        <v>21</v>
      </c>
      <c r="D23" t="s">
        <v>107</v>
      </c>
      <c r="E23" t="s">
        <v>49</v>
      </c>
      <c r="F23" t="s">
        <v>108</v>
      </c>
      <c r="G23" t="s">
        <v>109</v>
      </c>
      <c r="H23" t="s">
        <v>110</v>
      </c>
      <c r="I23" t="s">
        <v>111</v>
      </c>
      <c r="K23" t="s">
        <v>15</v>
      </c>
    </row>
  </sheetData>
  <conditionalFormatting sqref="K3:K22">
    <cfRule type="cellIs" dxfId="1" priority="1" operator="equal">
      <formula>"Not Tested"</formula>
    </cfRule>
    <cfRule type="cellIs" dxfId="0" priority="2" operator="equal">
      <formula>"Fail"</formula>
    </cfRule>
  </conditionalFormatting>
  <dataValidations count="1">
    <dataValidation type="list" allowBlank="1" sqref="K3:K72" xr:uid="{00000000-0002-0000-0100-000000000000}">
      <formula1>"Pass,Fail,Not Tested"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"/>
  <sheetViews>
    <sheetView workbookViewId="0">
      <selection activeCell="B5" sqref="B5"/>
    </sheetView>
  </sheetViews>
  <sheetFormatPr defaultColWidth="11.3984375" defaultRowHeight="14.25" x14ac:dyDescent="0.45"/>
  <sheetData>
    <row r="2" spans="2:2" x14ac:dyDescent="0.45">
      <c r="B2" t="s">
        <v>115</v>
      </c>
    </row>
    <row r="3" spans="2:2" x14ac:dyDescent="0.45">
      <c r="B3" t="s">
        <v>116</v>
      </c>
    </row>
    <row r="4" spans="2:2" x14ac:dyDescent="0.45">
      <c r="B4" t="s">
        <v>15</v>
      </c>
    </row>
    <row r="8" spans="2:2" x14ac:dyDescent="0.45">
      <c r="B8" t="s">
        <v>117</v>
      </c>
    </row>
    <row r="9" spans="2:2" x14ac:dyDescent="0.45">
      <c r="B9" t="s">
        <v>118</v>
      </c>
    </row>
    <row r="10" spans="2:2" x14ac:dyDescent="0.45">
      <c r="B10" t="s">
        <v>119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Test Report</vt:lpstr>
      <vt:lpstr>Test Cases &amp; Results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Song Heng</cp:lastModifiedBy>
  <dcterms:created xsi:type="dcterms:W3CDTF">2006-09-16T00:00:00Z</dcterms:created>
  <dcterms:modified xsi:type="dcterms:W3CDTF">2026-08-11T13:34:38Z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</Properties>
</file>