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300" tabRatio="600" firstSheet="0" activeTab="1" autoFilterDateGrouping="1"/>
  </bookViews>
  <sheets>
    <sheet name="Overall Test Report" sheetId="1" state="visible" r:id="rId1"/>
    <sheet name="Test Cases &amp; Results" sheetId="2" state="visible" r:id="rId2"/>
    <sheet name="Enums" sheetId="3" state="hidden" r:id="rId3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Verdana"/>
      <family val="2"/>
      <color rgb="FF333333"/>
      <sz val="9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3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horizontal="left" vertical="center" wrapText="1"/>
    </xf>
    <xf numFmtId="0" fontId="1" fillId="4" borderId="1" pivotButton="0" quotePrefix="0" xfId="0"/>
    <xf numFmtId="0" fontId="1" fillId="2" borderId="1" pivotButton="0" quotePrefix="0" xfId="0"/>
    <xf numFmtId="0" fontId="1" fillId="5" borderId="1" pivotButton="0" quotePrefix="0" xfId="0"/>
    <xf numFmtId="0" fontId="1" fillId="6" borderId="1" pivotButton="0" quotePrefix="0" xfId="0"/>
    <xf numFmtId="0" fontId="0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applyAlignment="1" pivotButton="0" quotePrefix="1" xfId="0">
      <alignment vertical="center" wrapText="1"/>
    </xf>
  </cellXfs>
  <cellStyles count="1">
    <cellStyle name="Normal" xfId="0" builtinId="0"/>
  </cellStyles>
  <dxfs count="4">
    <dxf>
      <fill>
        <patternFill>
          <bgColor theme="0" tint="-0.3499862666707358"/>
        </patternFill>
      </fill>
    </dxf>
    <dxf>
      <fill>
        <patternFill>
          <bgColor rgb="FFFF0000"/>
        </patternFill>
      </fill>
    </dxf>
    <dxf>
      <fill>
        <patternFill>
          <bgColor theme="0" tint="-0.3499862666707358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Overall Test Results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pie3D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25400">
                <a:solidFill>
                  <a:schemeClr val="lt1"/>
                </a:solidFill>
                <a:prstDash val="solid"/>
              </a:ln>
              <a:sp3d contourW="25400">
                <contourClr rgb="00000000"/>
              </a:sp3d>
            </spPr>
          </dPt>
          <dPt>
            <idx val="1"/>
            <bubble3D val="0"/>
            <spPr>
              <a:solidFill>
                <a:schemeClr val="accent2"/>
              </a:solidFill>
              <a:ln w="25400">
                <a:solidFill>
                  <a:schemeClr val="lt1"/>
                </a:solidFill>
                <a:prstDash val="solid"/>
              </a:ln>
              <a:sp3d contourW="25400">
                <contourClr rgb="00000000"/>
              </a:sp3d>
            </spPr>
          </dPt>
          <dPt>
            <idx val="2"/>
            <bubble3D val="0"/>
            <spPr>
              <a:solidFill>
                <a:schemeClr val="accent3"/>
              </a:solidFill>
              <a:ln w="25400">
                <a:solidFill>
                  <a:schemeClr val="lt1"/>
                </a:solidFill>
                <a:prstDash val="solid"/>
              </a:ln>
              <a:sp3d contourW="25400">
                <contourClr rgb="00000000"/>
              </a:sp3d>
            </spPr>
          </dPt>
          <cat>
            <strRef>
              <f>'Overall Test Report'!$B$4:$B$6</f>
              <strCache>
                <ptCount val="3"/>
                <pt idx="0">
                  <v xml:space="preserve">Passed </v>
                </pt>
                <pt idx="1">
                  <v>Failed</v>
                </pt>
                <pt idx="2">
                  <v>Not Tested</v>
                </pt>
              </strCache>
            </strRef>
          </cat>
          <val>
            <numRef>
              <f>'Overall Test Report'!$C$4:$C$6</f>
              <numCache>
                <formatCode>General</formatCode>
                <ptCount val="3"/>
                <pt idx="0">
                  <v>1</v>
                </pt>
                <pt idx="1">
                  <v>0</v>
                </pt>
                <pt idx="2">
                  <v>19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b"/>
      <layout>
        <manualLayout>
          <xMode val="edge"/>
          <yMode val="edge"/>
          <wMode val="factor"/>
          <hMode val="factor"/>
          <x val="0.298658573928259"/>
          <y val="0.8524300087489064"/>
          <w val="0.4554604111986002"/>
          <h val="0.1197922134733158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rtl="0"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820963</colOff>
      <row>8</row>
      <rowOff>84364</rowOff>
    </from>
    <to>
      <col>6</col>
      <colOff>181429</colOff>
      <row>23</row>
      <rowOff>99785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C6"/>
  <sheetViews>
    <sheetView zoomScale="129" workbookViewId="0">
      <selection activeCell="C3" sqref="C3"/>
    </sheetView>
  </sheetViews>
  <sheetFormatPr baseColWidth="8" defaultColWidth="11.42578125" defaultRowHeight="15"/>
  <cols>
    <col width="15.28515625" bestFit="1" customWidth="1" min="2" max="2"/>
  </cols>
  <sheetData>
    <row r="3">
      <c r="B3" s="6" t="inlineStr">
        <is>
          <t>Total Test Cases</t>
        </is>
      </c>
      <c r="C3" s="10">
        <f>COUNTIF('Test Cases &amp; Results'!B3:B70, "&lt;&gt;")</f>
        <v/>
      </c>
    </row>
    <row r="4">
      <c r="B4" s="7" t="inlineStr">
        <is>
          <t xml:space="preserve">Passed </t>
        </is>
      </c>
      <c r="C4" s="10">
        <f>COUNTIF('Test Cases &amp; Results'!K3:K72, "Pass")</f>
        <v/>
      </c>
    </row>
    <row r="5">
      <c r="B5" s="8" t="inlineStr">
        <is>
          <t>Failed</t>
        </is>
      </c>
      <c r="C5" s="10">
        <f>COUNTIF('Test Cases &amp; Results'!K3:K72, "Fail")</f>
        <v/>
      </c>
    </row>
    <row r="6">
      <c r="B6" s="9" t="inlineStr">
        <is>
          <t>Not Tested</t>
        </is>
      </c>
      <c r="C6" s="10">
        <f>COUNTIF('Test Cases &amp; Results'!K3:K72, "Not Tested")</f>
        <v/>
      </c>
    </row>
  </sheetData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23"/>
  <sheetViews>
    <sheetView tabSelected="1" zoomScale="136" workbookViewId="0">
      <selection activeCell="D3" sqref="D3"/>
    </sheetView>
  </sheetViews>
  <sheetFormatPr baseColWidth="8" defaultColWidth="8.85546875" defaultRowHeight="15"/>
  <cols>
    <col width="11.85546875" bestFit="1" customWidth="1" min="2" max="2"/>
    <col hidden="1" width="14" customWidth="1" min="3" max="3"/>
    <col width="15.7109375" bestFit="1" customWidth="1" min="4" max="4"/>
    <col width="12" customWidth="1" min="5" max="5"/>
    <col width="28.140625" customWidth="1" min="6" max="6"/>
    <col width="21.7109375" customWidth="1" min="7" max="7"/>
    <col width="25.28515625" bestFit="1" customWidth="1" min="8" max="8"/>
    <col width="20.42578125" customWidth="1" min="9" max="9"/>
    <col width="18.5703125" customWidth="1" min="10" max="10"/>
    <col width="12.5703125" customWidth="1" style="13" min="11" max="11"/>
  </cols>
  <sheetData>
    <row r="2">
      <c r="B2" s="1" t="inlineStr">
        <is>
          <t>TestCase_ID</t>
        </is>
      </c>
      <c r="C2" s="1" t="inlineStr">
        <is>
          <t>Requirement_ID</t>
        </is>
      </c>
      <c r="D2" s="1" t="inlineStr">
        <is>
          <t>Requirement_ID</t>
        </is>
      </c>
      <c r="E2" s="1" t="inlineStr">
        <is>
          <t>Priority</t>
        </is>
      </c>
      <c r="F2" s="1" t="inlineStr">
        <is>
          <t>Description/Test Summary</t>
        </is>
      </c>
      <c r="G2" s="1" t="inlineStr">
        <is>
          <t>Pre-Condition</t>
        </is>
      </c>
      <c r="H2" s="1" t="inlineStr">
        <is>
          <t>Test Steps</t>
        </is>
      </c>
      <c r="I2" s="1" t="inlineStr">
        <is>
          <t>Expected Result</t>
        </is>
      </c>
      <c r="J2" s="1" t="inlineStr">
        <is>
          <t>Actual Result</t>
        </is>
      </c>
      <c r="K2" s="11" t="inlineStr">
        <is>
          <t>Test Result</t>
        </is>
      </c>
    </row>
    <row r="3" ht="57" customHeight="1">
      <c r="B3" s="2" t="n">
        <v>1</v>
      </c>
      <c r="C3" s="2" t="n">
        <v>1</v>
      </c>
      <c r="D3" s="2" t="inlineStr">
        <is>
          <t>REQ-01</t>
        </is>
      </c>
      <c r="E3" s="3" t="inlineStr">
        <is>
          <t>High</t>
        </is>
      </c>
      <c r="F3" s="4" t="inlineStr">
        <is>
          <t>System starts in Sleep and transitions to Awake when the slide switch is moved right</t>
        </is>
      </c>
      <c r="G3" s="4" t="inlineStr">
        <is>
          <t>System powered on; slide switch in left (Sleep) position</t>
        </is>
      </c>
      <c r="H3" s="5" t="inlineStr">
        <is>
          <t>1. Power on the system. 2. Confirm it stays in Sleep. 3. Slide switch to the right. 4. Observe state.</t>
        </is>
      </c>
      <c r="I3" s="15" t="inlineStr">
        <is>
          <t>System remains in Sleep until switch is slid right; then transitions to Awake.</t>
        </is>
      </c>
      <c r="J3" s="15" t="n"/>
      <c r="K3" s="12" t="inlineStr">
        <is>
          <t>Not Tested</t>
        </is>
      </c>
    </row>
    <row r="4">
      <c r="B4" s="2" t="n">
        <v>2</v>
      </c>
      <c r="C4" s="2" t="n">
        <v>2</v>
      </c>
      <c r="D4" s="2" t="inlineStr">
        <is>
          <t>REQ-02</t>
        </is>
      </c>
      <c r="E4" s="3" t="inlineStr">
        <is>
          <t>High</t>
        </is>
      </c>
      <c r="F4" s="4" t="inlineStr">
        <is>
          <t>LCD displays 'System ready :)' when system is in Awake state</t>
        </is>
      </c>
      <c r="G4" s="4" t="inlineStr">
        <is>
          <t>System in Awake state (slide switch right)</t>
        </is>
      </c>
      <c r="H4" s="5" t="inlineStr">
        <is>
          <t>1. Slide switch to the right. 2. Read LCD line 1.</t>
        </is>
      </c>
      <c r="I4" s="4" t="inlineStr">
        <is>
          <t>LCD line 1 shows: System ready :)</t>
        </is>
      </c>
      <c r="J4" s="4" t="n"/>
      <c r="K4" s="12" t="inlineStr">
        <is>
          <t>Not Tested</t>
        </is>
      </c>
    </row>
    <row r="5">
      <c r="B5" s="2" t="n">
        <v>3</v>
      </c>
      <c r="C5" s="2" t="n">
        <v>3</v>
      </c>
      <c r="D5" s="2" t="inlineStr">
        <is>
          <t>REQ-03</t>
        </is>
      </c>
      <c r="E5" s="3" t="inlineStr">
        <is>
          <t>High</t>
        </is>
      </c>
      <c r="F5" s="4" t="inlineStr">
        <is>
          <t>Automatic activation when temperature sensor reads &gt;= 60 C</t>
        </is>
      </c>
      <c r="G5" s="4" t="inlineStr">
        <is>
          <t>System in Awake; no fire condition</t>
        </is>
      </c>
      <c r="H5" s="5" t="inlineStr">
        <is>
          <t>1. Heat the temperature sensor above 60 C. 2. Observe system within 1 s.</t>
        </is>
      </c>
      <c r="I5" s="4" t="inlineStr">
        <is>
          <t>System enters Emergency: buzzer on, red LED on, servo sprinkler, LCD FIRE DETECTED!, Telegram sent.</t>
        </is>
      </c>
      <c r="J5" s="4" t="n"/>
      <c r="K5" s="12" t="inlineStr">
        <is>
          <t>Not Tested</t>
        </is>
      </c>
    </row>
    <row r="6">
      <c r="B6" s="2" t="n">
        <v>4</v>
      </c>
      <c r="C6" s="14" t="n">
        <v>4</v>
      </c>
      <c r="D6" s="14" t="inlineStr">
        <is>
          <t>REQ-03</t>
        </is>
      </c>
      <c r="E6" s="14" t="inlineStr">
        <is>
          <t>High</t>
        </is>
      </c>
      <c r="F6" s="14" t="inlineStr">
        <is>
          <t>Automatic activation when LDR detects smoke (light reduction)</t>
        </is>
      </c>
      <c r="G6" s="14" t="inlineStr">
        <is>
          <t>System in Awake; no fire condition</t>
        </is>
      </c>
      <c r="H6" s="14" t="inlineStr">
        <is>
          <t>1. Cover the LDR / block light. 2. Observe system within 1 s.</t>
        </is>
      </c>
      <c r="I6" s="14" t="inlineStr">
        <is>
          <t>System enters Emergency (same response as temp activation).</t>
        </is>
      </c>
      <c r="J6" s="14" t="n"/>
      <c r="K6" s="12" t="inlineStr">
        <is>
          <t>Not Tested</t>
        </is>
      </c>
    </row>
    <row r="7">
      <c r="B7" s="2" t="n">
        <v>5</v>
      </c>
      <c r="C7" s="14" t="n">
        <v>5</v>
      </c>
      <c r="D7" s="14" t="inlineStr">
        <is>
          <t>REQ-04</t>
        </is>
      </c>
      <c r="E7" s="14" t="inlineStr">
        <is>
          <t>High</t>
        </is>
      </c>
      <c r="F7" s="14" t="inlineStr">
        <is>
          <t>Manual activation via Telegram '995' command</t>
        </is>
      </c>
      <c r="G7" s="14" t="inlineStr">
        <is>
          <t>System in Awake; bot configured in .env</t>
        </is>
      </c>
      <c r="H7" s="14" t="inlineStr">
        <is>
          <t>1. Text '995' to the Telegram bot from a phone. 2. Observe system within ~5 s.</t>
        </is>
      </c>
      <c r="I7" s="14" t="inlineStr">
        <is>
          <t>System enters Emergency (same response as auto activation).</t>
        </is>
      </c>
      <c r="J7" s="14" t="n"/>
      <c r="K7" s="12" t="inlineStr">
        <is>
          <t>Not Tested</t>
        </is>
      </c>
    </row>
    <row r="8">
      <c r="B8" s="2" t="n">
        <v>6</v>
      </c>
      <c r="C8" s="14" t="n">
        <v>6</v>
      </c>
      <c r="D8" s="14" t="inlineStr">
        <is>
          <t>REQ-06</t>
        </is>
      </c>
      <c r="E8" s="14" t="inlineStr">
        <is>
          <t>High</t>
        </is>
      </c>
      <c r="F8" s="14" t="inlineStr">
        <is>
          <t>Buzzer activates during Emergency response</t>
        </is>
      </c>
      <c r="G8" s="14" t="inlineStr">
        <is>
          <t>System in Emergency</t>
        </is>
      </c>
      <c r="H8" s="14" t="inlineStr">
        <is>
          <t>1. Trigger an emergency. 2. Listen for the buzzer.</t>
        </is>
      </c>
      <c r="I8" s="14" t="inlineStr">
        <is>
          <t>Buzzer sounds continuously while in Emergency.</t>
        </is>
      </c>
      <c r="J8" s="14" t="n"/>
      <c r="K8" s="12" t="inlineStr">
        <is>
          <t>Not Tested</t>
        </is>
      </c>
    </row>
    <row r="9">
      <c r="B9" s="2" t="n">
        <v>7</v>
      </c>
      <c r="C9" s="14" t="n">
        <v>7</v>
      </c>
      <c r="D9" s="14" t="inlineStr">
        <is>
          <t>REQ-07</t>
        </is>
      </c>
      <c r="E9" s="14" t="inlineStr">
        <is>
          <t>High</t>
        </is>
      </c>
      <c r="F9" s="14" t="inlineStr">
        <is>
          <t>Telegram 'Fire detected!' sent to owner, caregiver and SCDF</t>
        </is>
      </c>
      <c r="G9" s="14" t="inlineStr">
        <is>
          <t>System in Emergency; valid chat IDs in .env</t>
        </is>
      </c>
      <c r="H9" s="14" t="inlineStr">
        <is>
          <t>1. Trigger an emergency. 2. Check all three Telegram chats.</t>
        </is>
      </c>
      <c r="I9" s="14" t="inlineStr">
        <is>
          <t>'Fire detected!' received by owner, caregiver and SCDF within 5 s.</t>
        </is>
      </c>
      <c r="J9" s="14" t="n"/>
      <c r="K9" s="12" t="inlineStr">
        <is>
          <t>Not Tested</t>
        </is>
      </c>
    </row>
    <row r="10">
      <c r="B10" s="2" t="n">
        <v>8</v>
      </c>
      <c r="C10" s="14" t="n">
        <v>8</v>
      </c>
      <c r="D10" s="14" t="inlineStr">
        <is>
          <t>REQ-0?</t>
        </is>
      </c>
      <c r="E10" s="14" t="inlineStr">
        <is>
          <t>High</t>
        </is>
      </c>
      <c r="F10" s="14" t="inlineStr">
        <is>
          <t>Red LED turns on during Emergency</t>
        </is>
      </c>
      <c r="G10" s="14" t="inlineStr">
        <is>
          <t>System in Emergency</t>
        </is>
      </c>
      <c r="H10" s="14" t="inlineStr">
        <is>
          <t>1. Trigger an emergency. 2. Observe the red LED.</t>
        </is>
      </c>
      <c r="I10" s="14" t="inlineStr">
        <is>
          <t>Red LED is on while in Emergency.</t>
        </is>
      </c>
      <c r="J10" s="14" t="n"/>
      <c r="K10" s="12" t="inlineStr">
        <is>
          <t>Not Tested</t>
        </is>
      </c>
    </row>
    <row r="11">
      <c r="B11" s="2" t="n">
        <v>9</v>
      </c>
      <c r="C11" s="14" t="n">
        <v>9</v>
      </c>
      <c r="D11" s="14" t="inlineStr">
        <is>
          <t>REQ-0?</t>
        </is>
      </c>
      <c r="E11" s="14" t="inlineStr">
        <is>
          <t>Mid</t>
        </is>
      </c>
      <c r="F11" s="14" t="inlineStr">
        <is>
          <t>Servo motor (water sprinkler) activates during Emergency</t>
        </is>
      </c>
      <c r="G11" s="14" t="inlineStr">
        <is>
          <t>System in Emergency</t>
        </is>
      </c>
      <c r="H11" s="14" t="inlineStr">
        <is>
          <t>1. Trigger an emergency. 2. Observe the servo.</t>
        </is>
      </c>
      <c r="I11" s="14" t="inlineStr">
        <is>
          <t>Servo moves to sprinkler position (open) to spray water.</t>
        </is>
      </c>
      <c r="J11" s="14" t="n"/>
      <c r="K11" s="12" t="inlineStr">
        <is>
          <t>Not Tested</t>
        </is>
      </c>
    </row>
    <row r="12">
      <c r="B12" s="2" t="n">
        <v>10</v>
      </c>
      <c r="C12" s="14" t="n">
        <v>10</v>
      </c>
      <c r="D12" s="14" t="inlineStr">
        <is>
          <t>REQ-0?</t>
        </is>
      </c>
      <c r="E12" s="14" t="inlineStr">
        <is>
          <t>High</t>
        </is>
      </c>
      <c r="F12" s="14" t="inlineStr">
        <is>
          <t>LCD shows emergency message 'FIRE DETECTED!' / 'EVACUATE NOW'</t>
        </is>
      </c>
      <c r="G12" s="14" t="inlineStr">
        <is>
          <t>System in Emergency</t>
        </is>
      </c>
      <c r="H12" s="14" t="inlineStr">
        <is>
          <t>1. Trigger an emergency. 2. Read the LCD.</t>
        </is>
      </c>
      <c r="I12" s="14" t="inlineStr">
        <is>
          <t>LCD line 1: FIRE DETECTED!  line 2: EVACUATE NOW</t>
        </is>
      </c>
      <c r="J12" s="14" t="n"/>
      <c r="K12" s="12" t="inlineStr">
        <is>
          <t>Not Tested</t>
        </is>
      </c>
    </row>
    <row r="13">
      <c r="B13" s="2" t="n">
        <v>11</v>
      </c>
      <c r="C13" s="14" t="n">
        <v>11</v>
      </c>
      <c r="D13" s="14" t="inlineStr">
        <is>
          <t>2.3.4</t>
        </is>
      </c>
      <c r="E13" s="14" t="inlineStr">
        <is>
          <t>High</t>
        </is>
      </c>
      <c r="F13" s="14" t="inlineStr">
        <is>
          <t>Recovery: system returns to Awake only when temp &lt; 50 C AND moisture present for &gt;= 5 s</t>
        </is>
      </c>
      <c r="G13" s="14" t="inlineStr">
        <is>
          <t>System in Emergency; fire source removed</t>
        </is>
      </c>
      <c r="H13" s="14" t="inlineStr">
        <is>
          <t>1. Cool sensor below 50 C. 2. Wet the moisture sensor. 3. Hold both for 5 s. 4. Observe state.</t>
        </is>
      </c>
      <c r="I13" s="14" t="inlineStr">
        <is>
          <t>After 5 continuous seconds of both conditions, system transitions back to Awake.</t>
        </is>
      </c>
      <c r="J13" s="14" t="n"/>
      <c r="K13" s="12" t="inlineStr">
        <is>
          <t>Not Tested</t>
        </is>
      </c>
    </row>
    <row r="14">
      <c r="B14" s="2" t="n">
        <v>12</v>
      </c>
      <c r="C14" s="14" t="n">
        <v>12</v>
      </c>
      <c r="D14" s="14" t="inlineStr">
        <is>
          <t>2.3.4</t>
        </is>
      </c>
      <c r="E14" s="14" t="inlineStr">
        <is>
          <t>High</t>
        </is>
      </c>
      <c r="F14" s="14" t="inlineStr">
        <is>
          <t>Recovery deactivates buzzer, red LED and servo</t>
        </is>
      </c>
      <c r="G14" s="14" t="inlineStr">
        <is>
          <t>Recovery conditions met (temp&lt;50C + moisture)</t>
        </is>
      </c>
      <c r="H14" s="14" t="inlineStr">
        <is>
          <t>1. Let recovery complete. 2. Observe outputs.</t>
        </is>
      </c>
      <c r="I14" s="14" t="inlineStr">
        <is>
          <t>Buzzer stops, red LED turns off, servo returns to rest position.</t>
        </is>
      </c>
      <c r="J14" s="14" t="n"/>
      <c r="K14" s="12" t="inlineStr">
        <is>
          <t>Not Tested</t>
        </is>
      </c>
    </row>
    <row r="15">
      <c r="B15" s="2" t="n">
        <v>13</v>
      </c>
      <c r="C15" s="14" t="n">
        <v>13</v>
      </c>
      <c r="D15" s="14" t="inlineStr">
        <is>
          <t>2.3.4</t>
        </is>
      </c>
      <c r="E15" s="14" t="inlineStr">
        <is>
          <t>Mid</t>
        </is>
      </c>
      <c r="F15" s="14" t="inlineStr">
        <is>
          <t>LCD shows 'Fire is out' after recovery</t>
        </is>
      </c>
      <c r="G15" s="14" t="inlineStr">
        <is>
          <t>Recovery completed</t>
        </is>
      </c>
      <c r="H15" s="14" t="inlineStr">
        <is>
          <t>1. Observe LCD after recovery.</t>
        </is>
      </c>
      <c r="I15" s="14" t="inlineStr">
        <is>
          <t>LCD line 1 shows: Fire is out</t>
        </is>
      </c>
      <c r="J15" s="14" t="n"/>
      <c r="K15" s="12" t="inlineStr">
        <is>
          <t>Not Tested</t>
        </is>
      </c>
    </row>
    <row r="16">
      <c r="B16" s="2" t="n">
        <v>14</v>
      </c>
      <c r="C16" s="14" t="n">
        <v>14</v>
      </c>
      <c r="D16" s="14" t="inlineStr">
        <is>
          <t>2.3.5</t>
        </is>
      </c>
      <c r="E16" s="14" t="inlineStr">
        <is>
          <t>High</t>
        </is>
      </c>
      <c r="F16" s="14" t="inlineStr">
        <is>
          <t>False alarm: keypad '123' deactivates Emergency</t>
        </is>
      </c>
      <c r="G16" s="14" t="inlineStr">
        <is>
          <t>System in Emergency (false alarm scenario)</t>
        </is>
      </c>
      <c r="H16" s="14" t="inlineStr">
        <is>
          <t>1. Press 1, then 2, then 3 on the keypad. 2. Observe system.</t>
        </is>
      </c>
      <c r="I16" s="14" t="inlineStr">
        <is>
          <t>Emergency deactivates; system returns to Awake.</t>
        </is>
      </c>
      <c r="J16" s="14" t="n"/>
      <c r="K16" s="12" t="inlineStr">
        <is>
          <t>Not Tested</t>
        </is>
      </c>
    </row>
    <row r="17">
      <c r="B17" s="2" t="n">
        <v>15</v>
      </c>
      <c r="C17" s="14" t="n">
        <v>15</v>
      </c>
      <c r="D17" s="14" t="inlineStr">
        <is>
          <t>2.3.5</t>
        </is>
      </c>
      <c r="E17" s="14" t="inlineStr">
        <is>
          <t>High</t>
        </is>
      </c>
      <c r="F17" s="14" t="inlineStr">
        <is>
          <t>LCD shows 'False alarm!' / 'Alarm deactivated' after keypad 123</t>
        </is>
      </c>
      <c r="G17" s="14" t="inlineStr">
        <is>
          <t>Keypad 123 entered while in Emergency</t>
        </is>
      </c>
      <c r="H17" s="14" t="inlineStr">
        <is>
          <t>1. Observe the LCD after entering 123.</t>
        </is>
      </c>
      <c r="I17" s="14" t="inlineStr">
        <is>
          <t>LCD line 1: False alarm!  line 2: Alarm deactivated</t>
        </is>
      </c>
      <c r="J17" s="14" t="n"/>
      <c r="K17" s="12" t="inlineStr">
        <is>
          <t>Not Tested</t>
        </is>
      </c>
    </row>
    <row r="18">
      <c r="B18" s="2" t="n">
        <v>16</v>
      </c>
      <c r="C18" s="14" t="n">
        <v>16</v>
      </c>
      <c r="D18" s="14" t="inlineStr">
        <is>
          <t>2.3.6</t>
        </is>
      </c>
      <c r="E18" s="14" t="inlineStr">
        <is>
          <t>Mid</t>
        </is>
      </c>
      <c r="F18" s="14" t="inlineStr">
        <is>
          <t>Alarm duration and temperature data uploaded to ThingSpeak on deactivation</t>
        </is>
      </c>
      <c r="G18" s="14" t="inlineStr">
        <is>
          <t>Emergency ended (recovery or false alarm); ThingSpeak key valid</t>
        </is>
      </c>
      <c r="H18" s="14" t="inlineStr">
        <is>
          <t>1. End an emergency (either path). 2. Check ThingSpeak channel.</t>
        </is>
      </c>
      <c r="I18" s="14" t="inlineStr">
        <is>
          <t>New ThingSpeak entry with alarm duration / temperature appears.</t>
        </is>
      </c>
      <c r="J18" s="14" t="n"/>
      <c r="K18" s="12" t="inlineStr">
        <is>
          <t>Not Tested</t>
        </is>
      </c>
    </row>
    <row r="19">
      <c r="B19" s="2" t="n">
        <v>17</v>
      </c>
      <c r="C19" s="14" t="n">
        <v>17</v>
      </c>
      <c r="D19" s="14" t="inlineStr">
        <is>
          <t>NFR-P1</t>
        </is>
      </c>
      <c r="E19" s="14" t="inlineStr">
        <is>
          <t>Low</t>
        </is>
      </c>
      <c r="F19" s="14" t="inlineStr">
        <is>
          <t>System completes startup within 2 seconds</t>
        </is>
      </c>
      <c r="G19" s="14" t="inlineStr">
        <is>
          <t>System powered off</t>
        </is>
      </c>
      <c r="H19" s="14" t="inlineStr">
        <is>
          <t>1. Start timer at power-on. 2. Stop when LCD shows 'System ready :)'.</t>
        </is>
      </c>
      <c r="I19" s="14" t="inlineStr">
        <is>
          <t>Startup completes within 2 s.</t>
        </is>
      </c>
      <c r="J19" s="14" t="n"/>
      <c r="K19" s="12" t="inlineStr">
        <is>
          <t>Not Tested</t>
        </is>
      </c>
    </row>
    <row r="20">
      <c r="B20" s="2" t="n">
        <v>18</v>
      </c>
      <c r="C20" s="14" t="n">
        <v>18</v>
      </c>
      <c r="D20" s="14" t="inlineStr">
        <is>
          <t>NFR-P2</t>
        </is>
      </c>
      <c r="E20" s="14" t="inlineStr">
        <is>
          <t>Low</t>
        </is>
      </c>
      <c r="F20" s="14" t="inlineStr">
        <is>
          <t>Sprinkler activates within 3 seconds of alarm</t>
        </is>
      </c>
      <c r="G20" s="14" t="inlineStr">
        <is>
          <t>System in Awake</t>
        </is>
      </c>
      <c r="H20" s="14" t="inlineStr">
        <is>
          <t>1. Trigger an emergency. 2. Time until servo starts moving.</t>
        </is>
      </c>
      <c r="I20" s="14" t="inlineStr">
        <is>
          <t>Servo sprinkler activates within 3 s of the alarm.</t>
        </is>
      </c>
      <c r="J20" s="14" t="n"/>
      <c r="K20" s="12" t="inlineStr">
        <is>
          <t>Not Tested</t>
        </is>
      </c>
    </row>
    <row r="21">
      <c r="B21" s="2" t="n">
        <v>19</v>
      </c>
      <c r="C21" s="14" t="n">
        <v>19</v>
      </c>
      <c r="D21" s="14" t="inlineStr">
        <is>
          <t>NFR-P4</t>
        </is>
      </c>
      <c r="E21" s="14" t="inlineStr">
        <is>
          <t>Low</t>
        </is>
      </c>
      <c r="F21" s="14" t="inlineStr">
        <is>
          <t>Telegram notification sent within 5 seconds of alarm</t>
        </is>
      </c>
      <c r="G21" s="14" t="inlineStr">
        <is>
          <t>System in Awake; bot configured</t>
        </is>
      </c>
      <c r="H21" s="14" t="inlineStr">
        <is>
          <t>1. Trigger an emergency. 2. Time until the Telegram message arrives.</t>
        </is>
      </c>
      <c r="I21" s="14" t="inlineStr">
        <is>
          <t>Telegram message received within 5 s.</t>
        </is>
      </c>
      <c r="J21" s="14" t="n"/>
      <c r="K21" s="12" t="inlineStr">
        <is>
          <t>Not Tested</t>
        </is>
      </c>
    </row>
    <row r="22">
      <c r="B22" s="2" t="n">
        <v>20</v>
      </c>
      <c r="C22" s="14" t="n">
        <v>20</v>
      </c>
      <c r="D22" s="14" t="inlineStr">
        <is>
          <t>NFR-P6</t>
        </is>
      </c>
      <c r="E22" s="14" t="inlineStr">
        <is>
          <t>Low</t>
        </is>
      </c>
      <c r="F22" s="14" t="inlineStr">
        <is>
          <t>Fire considered extinguished only after 5 s continuous conditions; deactivation within 3 s</t>
        </is>
      </c>
      <c r="G22" s="14" t="inlineStr">
        <is>
          <t>System in Emergency</t>
        </is>
      </c>
      <c r="H22" s="14" t="inlineStr">
        <is>
          <t>1. Cool + wet the sensors. 2. Time from conditions met to deactivation.</t>
        </is>
      </c>
      <c r="I22" s="14" t="inlineStr">
        <is>
          <t>Extinguished only after 5 s continuous; alarm deactivates within 3 s of detection.</t>
        </is>
      </c>
      <c r="J22" s="14" t="n"/>
      <c r="K22" s="12" t="inlineStr">
        <is>
          <t>Not Tested</t>
        </is>
      </c>
    </row>
    <row r="23">
      <c r="B23" t="n">
        <v>21</v>
      </c>
      <c r="C23" t="n">
        <v>21</v>
      </c>
      <c r="D23" t="inlineStr">
        <is>
          <t>2.4.2</t>
        </is>
      </c>
      <c r="E23" t="inlineStr">
        <is>
          <t>Mid</t>
        </is>
      </c>
      <c r="F23" t="inlineStr">
        <is>
          <t>Sensor readings uploaded to ThingSpeak every 15 seconds</t>
        </is>
      </c>
      <c r="G23" t="inlineStr">
        <is>
          <t>System running; valid ThingSpeak key</t>
        </is>
      </c>
      <c r="H23" t="inlineStr">
        <is>
          <t>1. Watch the channel for 60 s. 2. Count new entries.</t>
        </is>
      </c>
      <c r="I23" t="inlineStr">
        <is>
          <t>Approx. 4 new entries appear (one every 15 s).</t>
        </is>
      </c>
      <c r="K23" t="inlineStr">
        <is>
          <t>Not Tested</t>
        </is>
      </c>
    </row>
  </sheetData>
  <conditionalFormatting sqref="K3:K20">
    <cfRule type="cellIs" priority="9" operator="equal" dxfId="1">
      <formula>"Fail"</formula>
    </cfRule>
    <cfRule type="cellIs" priority="7" operator="equal" dxfId="0">
      <formula>"Not Tested"</formula>
    </cfRule>
  </conditionalFormatting>
  <conditionalFormatting sqref="K21:K22">
    <cfRule type="cellIs" priority="2" operator="equal" dxfId="1">
      <formula>"Fail"</formula>
    </cfRule>
    <cfRule type="cellIs" priority="1" operator="equal" dxfId="0">
      <formula>"Not Tested"</formula>
    </cfRule>
  </conditionalFormatting>
  <dataValidations count="1">
    <dataValidation sqref="K3:K72" showDropDown="0" showInputMessage="0" showErrorMessage="0" allowBlank="1" type="list">
      <formula1>"Pass,Fail,Not Tested"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10"/>
  <sheetViews>
    <sheetView workbookViewId="0">
      <selection activeCell="B5" sqref="B5"/>
    </sheetView>
  </sheetViews>
  <sheetFormatPr baseColWidth="8" defaultColWidth="11.42578125" defaultRowHeight="15"/>
  <sheetData>
    <row r="2">
      <c r="B2" t="inlineStr">
        <is>
          <t>Pass</t>
        </is>
      </c>
    </row>
    <row r="3">
      <c r="B3" t="inlineStr">
        <is>
          <t>Fail</t>
        </is>
      </c>
    </row>
    <row r="4">
      <c r="B4" t="inlineStr">
        <is>
          <t>Not Tested</t>
        </is>
      </c>
    </row>
    <row r="8">
      <c r="B8" t="inlineStr">
        <is>
          <t>High Impact</t>
        </is>
      </c>
    </row>
    <row r="9">
      <c r="B9" t="inlineStr">
        <is>
          <t>Mid Impact</t>
        </is>
      </c>
    </row>
    <row r="10">
      <c r="B10" t="inlineStr">
        <is>
          <t>Low Impact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2026-08-11T11:58:01Z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0x010100E81D8C8DDAE8BD44A422697963F06C45</vt:lpwstr>
  </property>
</Properties>
</file>